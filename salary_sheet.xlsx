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a467e5f5d030ebab/Desktop/"/>
    </mc:Choice>
  </mc:AlternateContent>
  <xr:revisionPtr revIDLastSave="0" documentId="8_{E67A82D5-40FF-456D-9A06-8744CF58198B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Payroll 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2" i="1" l="1"/>
  <c r="G11" i="1"/>
  <c r="F11" i="1"/>
  <c r="H11" i="1" s="1"/>
  <c r="I11" i="1" s="1"/>
  <c r="E11" i="1"/>
  <c r="D11" i="1"/>
  <c r="G10" i="1"/>
  <c r="E10" i="1"/>
  <c r="D10" i="1"/>
  <c r="F10" i="1" s="1"/>
  <c r="G9" i="1"/>
  <c r="E9" i="1"/>
  <c r="F9" i="1" s="1"/>
  <c r="D9" i="1"/>
  <c r="G8" i="1"/>
  <c r="E8" i="1"/>
  <c r="D8" i="1"/>
  <c r="F8" i="1" s="1"/>
  <c r="G7" i="1"/>
  <c r="E7" i="1"/>
  <c r="F7" i="1" s="1"/>
  <c r="D7" i="1"/>
  <c r="G6" i="1"/>
  <c r="E6" i="1"/>
  <c r="D6" i="1"/>
  <c r="F6" i="1" s="1"/>
  <c r="G5" i="1"/>
  <c r="E5" i="1"/>
  <c r="F5" i="1" s="1"/>
  <c r="D5" i="1"/>
  <c r="G4" i="1"/>
  <c r="E4" i="1"/>
  <c r="D4" i="1"/>
  <c r="F4" i="1" s="1"/>
  <c r="G3" i="1"/>
  <c r="E3" i="1"/>
  <c r="F3" i="1" s="1"/>
  <c r="D3" i="1"/>
  <c r="G2" i="1"/>
  <c r="G12" i="1" s="1"/>
  <c r="E2" i="1"/>
  <c r="E12" i="1" s="1"/>
  <c r="D2" i="1"/>
  <c r="F2" i="1" s="1"/>
  <c r="H7" i="1" l="1"/>
  <c r="I7" i="1" s="1"/>
  <c r="H5" i="1"/>
  <c r="I5" i="1" s="1"/>
  <c r="H9" i="1"/>
  <c r="I9" i="1" s="1"/>
  <c r="H2" i="1"/>
  <c r="F12" i="1"/>
  <c r="I6" i="1"/>
  <c r="H6" i="1"/>
  <c r="I10" i="1"/>
  <c r="H10" i="1"/>
  <c r="H3" i="1"/>
  <c r="I3" i="1" s="1"/>
  <c r="H4" i="1"/>
  <c r="I4" i="1" s="1"/>
  <c r="H8" i="1"/>
  <c r="I8" i="1" s="1"/>
  <c r="D12" i="1"/>
  <c r="H12" i="1" l="1"/>
  <c r="I2" i="1"/>
  <c r="I12" i="1" s="1"/>
</calcChain>
</file>

<file path=xl/sharedStrings.xml><?xml version="1.0" encoding="utf-8"?>
<sst xmlns="http://schemas.openxmlformats.org/spreadsheetml/2006/main" count="20" uniqueCount="20">
  <si>
    <t>Emp ID</t>
  </si>
  <si>
    <t>Employee Name</t>
  </si>
  <si>
    <t>Basic Pay</t>
  </si>
  <si>
    <t>HRA (20%)</t>
  </si>
  <si>
    <t>DA (10%)</t>
  </si>
  <si>
    <t>Gross Salary</t>
  </si>
  <si>
    <t>PF (12%)</t>
  </si>
  <si>
    <t>Tax (5%)</t>
  </si>
  <si>
    <t>Net Salary</t>
  </si>
  <si>
    <t>Average</t>
  </si>
  <si>
    <t>ramya</t>
  </si>
  <si>
    <t xml:space="preserve">Priya </t>
  </si>
  <si>
    <t>pragathi</t>
  </si>
  <si>
    <t>sumana</t>
  </si>
  <si>
    <t>sravya</t>
  </si>
  <si>
    <t>nandini</t>
  </si>
  <si>
    <t>bhagya</t>
  </si>
  <si>
    <t>pooji</t>
  </si>
  <si>
    <t xml:space="preserve">Rohan </t>
  </si>
  <si>
    <t>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</si>
</sst>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C14" sqref="C14"/>
    </sheetView>
  </sheetViews>
  <sheetFormatPr defaultRowHeight="14.5" x14ac:dyDescent="0.35"/>
  <cols>
    <col min="1" max="1" width="14" customWidth="1"/>
    <col min="2" max="2" width="18" customWidth="1"/>
    <col min="3" max="9" width="2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1001</v>
      </c>
      <c r="B2" s="3" t="s">
        <v>10</v>
      </c>
      <c r="C2" s="4">
        <v>50000</v>
      </c>
      <c r="D2" s="4">
        <f t="shared" ref="D2:D11" si="0">C2*0.2</f>
        <v>10000</v>
      </c>
      <c r="E2" s="4">
        <f t="shared" ref="E2:E11" si="1">C2*0.1</f>
        <v>5000</v>
      </c>
      <c r="F2" s="5">
        <f t="shared" ref="F2:F11" si="2">SUM(C2:E2)</f>
        <v>65000</v>
      </c>
      <c r="G2" s="4">
        <f t="shared" ref="G2:G11" si="3">C2*0.12</f>
        <v>6000</v>
      </c>
      <c r="H2" s="4">
        <f t="shared" ref="H2:H11" si="4">F2*0.05</f>
        <v>3250</v>
      </c>
      <c r="I2" s="5">
        <f t="shared" ref="I2:I11" si="5">F2-(G2+H2)</f>
        <v>55750</v>
      </c>
    </row>
    <row r="3" spans="1:9" x14ac:dyDescent="0.35">
      <c r="A3" s="2">
        <v>1002</v>
      </c>
      <c r="B3" s="3" t="s">
        <v>11</v>
      </c>
      <c r="C3" s="4">
        <v>65000</v>
      </c>
      <c r="D3" s="4">
        <f t="shared" si="0"/>
        <v>13000</v>
      </c>
      <c r="E3" s="4">
        <f t="shared" si="1"/>
        <v>6500</v>
      </c>
      <c r="F3" s="5">
        <f t="shared" si="2"/>
        <v>84500</v>
      </c>
      <c r="G3" s="4">
        <f t="shared" si="3"/>
        <v>7800</v>
      </c>
      <c r="H3" s="4">
        <f t="shared" si="4"/>
        <v>4225</v>
      </c>
      <c r="I3" s="5">
        <f t="shared" si="5"/>
        <v>72475</v>
      </c>
    </row>
    <row r="4" spans="1:9" x14ac:dyDescent="0.35">
      <c r="A4" s="2">
        <v>1003</v>
      </c>
      <c r="B4" s="3" t="s">
        <v>12</v>
      </c>
      <c r="C4" s="4">
        <v>42000</v>
      </c>
      <c r="D4" s="4">
        <f t="shared" si="0"/>
        <v>8400</v>
      </c>
      <c r="E4" s="4">
        <f t="shared" si="1"/>
        <v>4200</v>
      </c>
      <c r="F4" s="5">
        <f t="shared" si="2"/>
        <v>54600</v>
      </c>
      <c r="G4" s="4">
        <f t="shared" si="3"/>
        <v>5040</v>
      </c>
      <c r="H4" s="4">
        <f t="shared" si="4"/>
        <v>2730</v>
      </c>
      <c r="I4" s="5">
        <f t="shared" si="5"/>
        <v>46830</v>
      </c>
    </row>
    <row r="5" spans="1:9" x14ac:dyDescent="0.35">
      <c r="A5" s="2">
        <v>1004</v>
      </c>
      <c r="B5" s="3" t="s">
        <v>13</v>
      </c>
      <c r="C5" s="4">
        <v>58000</v>
      </c>
      <c r="D5" s="4">
        <f t="shared" si="0"/>
        <v>11600</v>
      </c>
      <c r="E5" s="4">
        <f t="shared" si="1"/>
        <v>5800</v>
      </c>
      <c r="F5" s="5">
        <f t="shared" si="2"/>
        <v>75400</v>
      </c>
      <c r="G5" s="4">
        <f t="shared" si="3"/>
        <v>6960</v>
      </c>
      <c r="H5" s="4">
        <f t="shared" si="4"/>
        <v>3770</v>
      </c>
      <c r="I5" s="5">
        <f t="shared" si="5"/>
        <v>64670</v>
      </c>
    </row>
    <row r="6" spans="1:9" x14ac:dyDescent="0.35">
      <c r="A6" s="2">
        <v>1005</v>
      </c>
      <c r="B6" s="3" t="s">
        <v>14</v>
      </c>
      <c r="C6" s="4">
        <v>35000</v>
      </c>
      <c r="D6" s="4">
        <f t="shared" si="0"/>
        <v>7000</v>
      </c>
      <c r="E6" s="4">
        <f t="shared" si="1"/>
        <v>3500</v>
      </c>
      <c r="F6" s="5">
        <f t="shared" si="2"/>
        <v>45500</v>
      </c>
      <c r="G6" s="4">
        <f t="shared" si="3"/>
        <v>4200</v>
      </c>
      <c r="H6" s="4">
        <f t="shared" si="4"/>
        <v>2275</v>
      </c>
      <c r="I6" s="5">
        <f t="shared" si="5"/>
        <v>39025</v>
      </c>
    </row>
    <row r="7" spans="1:9" x14ac:dyDescent="0.35">
      <c r="A7" s="2">
        <v>1006</v>
      </c>
      <c r="B7" s="3" t="s">
        <v>15</v>
      </c>
      <c r="C7" s="4">
        <v>60000</v>
      </c>
      <c r="D7" s="4">
        <f t="shared" si="0"/>
        <v>12000</v>
      </c>
      <c r="E7" s="4">
        <f t="shared" si="1"/>
        <v>6000</v>
      </c>
      <c r="F7" s="5">
        <f t="shared" si="2"/>
        <v>78000</v>
      </c>
      <c r="G7" s="4">
        <f t="shared" si="3"/>
        <v>7200</v>
      </c>
      <c r="H7" s="4">
        <f t="shared" si="4"/>
        <v>3900</v>
      </c>
      <c r="I7" s="5">
        <f t="shared" si="5"/>
        <v>66900</v>
      </c>
    </row>
    <row r="8" spans="1:9" x14ac:dyDescent="0.35">
      <c r="A8" s="2">
        <v>1007</v>
      </c>
      <c r="B8" s="3" t="s">
        <v>16</v>
      </c>
      <c r="C8" s="4">
        <v>38000</v>
      </c>
      <c r="D8" s="4">
        <f t="shared" si="0"/>
        <v>7600</v>
      </c>
      <c r="E8" s="4">
        <f t="shared" si="1"/>
        <v>3800</v>
      </c>
      <c r="F8" s="5">
        <f t="shared" si="2"/>
        <v>49400</v>
      </c>
      <c r="G8" s="4">
        <f t="shared" si="3"/>
        <v>4560</v>
      </c>
      <c r="H8" s="4">
        <f t="shared" si="4"/>
        <v>2470</v>
      </c>
      <c r="I8" s="5">
        <f t="shared" si="5"/>
        <v>42370</v>
      </c>
    </row>
    <row r="9" spans="1:9" x14ac:dyDescent="0.35">
      <c r="A9" s="2">
        <v>1008</v>
      </c>
      <c r="B9" s="3" t="s">
        <v>17</v>
      </c>
      <c r="C9" s="4">
        <v>62000</v>
      </c>
      <c r="D9" s="4">
        <f t="shared" si="0"/>
        <v>12400</v>
      </c>
      <c r="E9" s="4">
        <f t="shared" si="1"/>
        <v>6200</v>
      </c>
      <c r="F9" s="5">
        <f t="shared" si="2"/>
        <v>80600</v>
      </c>
      <c r="G9" s="4">
        <f t="shared" si="3"/>
        <v>7440</v>
      </c>
      <c r="H9" s="4">
        <f t="shared" si="4"/>
        <v>4030</v>
      </c>
      <c r="I9" s="5">
        <f t="shared" si="5"/>
        <v>69130</v>
      </c>
    </row>
    <row r="10" spans="1:9" x14ac:dyDescent="0.35">
      <c r="A10" s="2">
        <v>1009</v>
      </c>
      <c r="B10" s="3" t="s">
        <v>18</v>
      </c>
      <c r="C10" s="4">
        <v>48000</v>
      </c>
      <c r="D10" s="4">
        <f t="shared" si="0"/>
        <v>9600</v>
      </c>
      <c r="E10" s="4">
        <f t="shared" si="1"/>
        <v>4800</v>
      </c>
      <c r="F10" s="5">
        <f t="shared" si="2"/>
        <v>62400</v>
      </c>
      <c r="G10" s="4">
        <f t="shared" si="3"/>
        <v>5760</v>
      </c>
      <c r="H10" s="4">
        <f t="shared" si="4"/>
        <v>3120</v>
      </c>
      <c r="I10" s="5">
        <f t="shared" si="5"/>
        <v>53520</v>
      </c>
    </row>
    <row r="11" spans="1:9" x14ac:dyDescent="0.35">
      <c r="A11" s="2">
        <v>1010</v>
      </c>
      <c r="B11" s="3" t="s">
        <v>19</v>
      </c>
      <c r="C11" s="4">
        <v>70000</v>
      </c>
      <c r="D11" s="4">
        <f t="shared" si="0"/>
        <v>14000</v>
      </c>
      <c r="E11" s="4">
        <f t="shared" si="1"/>
        <v>7000</v>
      </c>
      <c r="F11" s="5">
        <f t="shared" si="2"/>
        <v>91000</v>
      </c>
      <c r="G11" s="4">
        <f t="shared" si="3"/>
        <v>8400</v>
      </c>
      <c r="H11" s="4">
        <f t="shared" si="4"/>
        <v>4550</v>
      </c>
      <c r="I11" s="5">
        <f t="shared" si="5"/>
        <v>78050</v>
      </c>
    </row>
    <row r="12" spans="1:9" x14ac:dyDescent="0.35">
      <c r="B12" s="6" t="s">
        <v>9</v>
      </c>
      <c r="C12" s="5">
        <f t="shared" ref="C12:I12" si="6">AVERAGE(C2:C11)</f>
        <v>52800</v>
      </c>
      <c r="D12" s="5">
        <f t="shared" si="6"/>
        <v>10560</v>
      </c>
      <c r="E12" s="5">
        <f t="shared" si="6"/>
        <v>5280</v>
      </c>
      <c r="F12" s="5">
        <f t="shared" si="6"/>
        <v>68640</v>
      </c>
      <c r="G12" s="5">
        <f t="shared" si="6"/>
        <v>6336</v>
      </c>
      <c r="H12" s="5">
        <f t="shared" si="6"/>
        <v>3432</v>
      </c>
      <c r="I12" s="5">
        <f t="shared" si="6"/>
        <v>58872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2026-10-07T08:37:30Z</dcterms:created>
  <dcterms:modified xsi:type="dcterms:W3CDTF">2026-10-07T08:43:50Z</dcterms:modified>
</cp:coreProperties>
</file>